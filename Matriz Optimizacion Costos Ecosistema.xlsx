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omy\Documents\TH\Curso IA Automation\Entrega Final\"/>
    </mc:Choice>
  </mc:AlternateContent>
  <xr:revisionPtr revIDLastSave="0" documentId="13_ncr:1_{1DA52452-615B-4C88-9712-108163E59FCA}" xr6:coauthVersionLast="47" xr6:coauthVersionMax="47" xr10:uidLastSave="{00000000-0000-0000-0000-000000000000}"/>
  <bookViews>
    <workbookView xWindow="-120" yWindow="-120" windowWidth="29040" windowHeight="15720" xr2:uid="{00000000-000D-0000-FFFF-FFFF00000000}"/>
  </bookViews>
  <sheets>
    <sheet name="Matriz de Costos" sheetId="1" r:id="rId1"/>
    <sheet name="Optimización RAG" sheetId="2" r:id="rId2"/>
    <sheet name="Metodología y Fuen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F7" i="2" s="1"/>
  <c r="E6" i="2"/>
  <c r="F6" i="2" s="1"/>
  <c r="E5" i="2"/>
  <c r="F5" i="2" s="1"/>
  <c r="E4" i="2"/>
  <c r="G7" i="2" s="1"/>
  <c r="J14" i="1"/>
  <c r="I14" i="1"/>
  <c r="H14" i="1"/>
  <c r="G14" i="1"/>
  <c r="F14" i="1"/>
  <c r="E14" i="1"/>
  <c r="J13" i="1"/>
  <c r="I13" i="1"/>
  <c r="H13" i="1"/>
  <c r="G13" i="1"/>
  <c r="F13" i="1"/>
  <c r="E13" i="1"/>
  <c r="J12" i="1"/>
  <c r="I12" i="1"/>
  <c r="H12" i="1"/>
  <c r="G12" i="1"/>
  <c r="F12" i="1"/>
  <c r="E12" i="1"/>
  <c r="J11" i="1"/>
  <c r="I11" i="1"/>
  <c r="H11" i="1"/>
  <c r="G11" i="1"/>
  <c r="F11" i="1"/>
  <c r="E11" i="1"/>
  <c r="J10" i="1"/>
  <c r="I10" i="1"/>
  <c r="H10" i="1"/>
  <c r="G10" i="1"/>
  <c r="F10" i="1"/>
  <c r="E10" i="1"/>
  <c r="J9" i="1"/>
  <c r="I9" i="1"/>
  <c r="H9" i="1"/>
  <c r="G9" i="1"/>
  <c r="F9" i="1"/>
  <c r="E9" i="1"/>
  <c r="F4" i="2" l="1"/>
  <c r="G4" i="2"/>
  <c r="G5" i="2"/>
  <c r="G6" i="2"/>
</calcChain>
</file>

<file path=xl/sharedStrings.xml><?xml version="1.0" encoding="utf-8"?>
<sst xmlns="http://schemas.openxmlformats.org/spreadsheetml/2006/main" count="110" uniqueCount="87">
  <si>
    <t>Matriz de Optimización de Costos – Ecosistema IA de Gestión de Reseñas</t>
  </si>
  <si>
    <t>Supuesto</t>
  </si>
  <si>
    <t>Valor</t>
  </si>
  <si>
    <t>Tokens de entrada / reseña</t>
  </si>
  <si>
    <t>Tokens de salida / reseña</t>
  </si>
  <si>
    <t>Moneda</t>
  </si>
  <si>
    <t>USD</t>
  </si>
  <si>
    <t>Modelo / modo</t>
  </si>
  <si>
    <t>Rol sugerido</t>
  </si>
  <si>
    <t>Input USD / 1M</t>
  </si>
  <si>
    <t>Output USD / 1M</t>
  </si>
  <si>
    <t>Costo / reseña</t>
  </si>
  <si>
    <t>100 reseñas</t>
  </si>
  <si>
    <t>500 reseñas</t>
  </si>
  <si>
    <t>1.000 reseñas</t>
  </si>
  <si>
    <t>10.000 reseñas</t>
  </si>
  <si>
    <t>Ahorro vs Gemini Flash</t>
  </si>
  <si>
    <t>Decisión</t>
  </si>
  <si>
    <t>Fuente</t>
  </si>
  <si>
    <t>Gemini 2.5 Flash (Standard)</t>
  </si>
  <si>
    <t>Modelo validado actualmente</t>
  </si>
  <si>
    <t>RECOMENDADO ACTUAL</t>
  </si>
  <si>
    <t>https://ai.google.dev/gemini-api/docs/pricing</t>
  </si>
  <si>
    <t>Gemini 2.5 Flash-Lite (Standard)</t>
  </si>
  <si>
    <t>Alto volumen / costo mínimo</t>
  </si>
  <si>
    <t>MEJOR OPCIÓN DE AHORRO</t>
  </si>
  <si>
    <t>GPT-5 mini</t>
  </si>
  <si>
    <t>Alternativa compatible con consigna</t>
  </si>
  <si>
    <t>ALTERNATIVA PRODUCCIÓN</t>
  </si>
  <si>
    <t>https://developers.openai.com/api/docs/models/gpt-5-mini</t>
  </si>
  <si>
    <t>Claude Haiku 4.5</t>
  </si>
  <si>
    <t>Alternativa para mayor calidad textual</t>
  </si>
  <si>
    <t>NO NECESARIO PARA ESTA TAREA</t>
  </si>
  <si>
    <t>https://platform.claude.com/docs/en/about-claude/pricing</t>
  </si>
  <si>
    <t>Gemini 2.5 Flash (Batch)</t>
  </si>
  <si>
    <t>Procesos masivos no interactivos</t>
  </si>
  <si>
    <t>NO APLICA AL HITL EN TIEMPO REAL</t>
  </si>
  <si>
    <t>Gemini 2.5 Flash-Lite (Batch)</t>
  </si>
  <si>
    <t>Clasificación masiva asincrónica</t>
  </si>
  <si>
    <t>Conclusión de la matriz</t>
  </si>
  <si>
    <t>Gemini 2.5 Flash se mantiene como modelo operativo porque fue validado end-to-end en el workflow real: clasificó sentimiento y urgencia, utilizó el contexto RAG y evitó inventar información. Gemini 2.5 Flash-Lite presenta el menor costo y sería la primera alternativa para optimizar a gran escala, pero antes de sustituir el modelo actual debería validarse mediante pruebas A/B de calidad. GPT-5 mini es una alternativa de costo similar y además se alinea literalmente con la consigna que menciona OpenAI/Claude. Los modos Batch son más baratos, pero no son adecuados para el camino principal porque el sistema necesita respuesta inmediata, persistencia en Notion y un HITL interactivo.</t>
  </si>
  <si>
    <t>Escenarios de optimización del consumo de tokens</t>
  </si>
  <si>
    <t>Escenario</t>
  </si>
  <si>
    <t>Input tokens</t>
  </si>
  <si>
    <t>Output tokens</t>
  </si>
  <si>
    <t>Modelo</t>
  </si>
  <si>
    <t>Ahorro vs base</t>
  </si>
  <si>
    <t>Interpretación</t>
  </si>
  <si>
    <t>Base actual estimada</t>
  </si>
  <si>
    <t>Gemini 2.5 Flash</t>
  </si>
  <si>
    <t>RAG completo + prompt + reseña</t>
  </si>
  <si>
    <t>RAG comprimido</t>
  </si>
  <si>
    <t>Eliminar duplicaciones y texto no relevante</t>
  </si>
  <si>
    <t>RAG muy optimizado</t>
  </si>
  <si>
    <t>Recuperar solo bloques relevantes por consulta</t>
  </si>
  <si>
    <t>Flash-Lite + RAG comprimido</t>
  </si>
  <si>
    <t>Gemini 2.5 Flash-Lite</t>
  </si>
  <si>
    <t>Máxima eficiencia con validación A/B previa</t>
  </si>
  <si>
    <t>Recomendaciones de optimización</t>
  </si>
  <si>
    <t>1</t>
  </si>
  <si>
    <t>Mantener Gemini 2.5 Flash mientras el volumen sea bajo y la calidad esté validada.</t>
  </si>
  <si>
    <t>2</t>
  </si>
  <si>
    <t>Reducir el tamaño del contexto RAG eliminando contenido redundante antes de cambiar de modelo.</t>
  </si>
  <si>
    <t>3</t>
  </si>
  <si>
    <t>Evaluar Gemini 2.5 Flash-Lite con pruebas A/B antes de migrar el camino principal.</t>
  </si>
  <si>
    <t>4</t>
  </si>
  <si>
    <t>Usar Batch únicamente para tareas asincrónicas masivas; no para el flujo HITL en vivo.</t>
  </si>
  <si>
    <t>5</t>
  </si>
  <si>
    <t>Limitar la longitud de salida del agente porque las respuestas finales son breves.</t>
  </si>
  <si>
    <t>Metodología, supuestos y fuentes</t>
  </si>
  <si>
    <t>Elemento</t>
  </si>
  <si>
    <t>Valor / criterio</t>
  </si>
  <si>
    <t>Tipo</t>
  </si>
  <si>
    <t>Tokens de entrada por reseña</t>
  </si>
  <si>
    <t>Supuesto estimado</t>
  </si>
  <si>
    <t>Estimación propia del proyecto</t>
  </si>
  <si>
    <t>Tokens de salida por reseña</t>
  </si>
  <si>
    <t>$0.30 input / $2.50 output por 1M tokens</t>
  </si>
  <si>
    <t>Precio oficial</t>
  </si>
  <si>
    <t>$0.10 input / $0.40 output por 1M tokens</t>
  </si>
  <si>
    <t>$0.25 input / $2.00 output por 1M tokens</t>
  </si>
  <si>
    <t>$1.00 input / $5.00 output por 1M tokens</t>
  </si>
  <si>
    <t>Free Tier de Gemini</t>
  </si>
  <si>
    <t>Disponible para Gemini 2.5 Flash y Flash-Lite sujeto a límites</t>
  </si>
  <si>
    <t>Condición de prototipado</t>
  </si>
  <si>
    <t>Nota metodológica</t>
  </si>
  <si>
    <t>Los costos mensuales son escenarios estimados, no facturación real. El AI Agent actual no expone en el registro de Notion el consumo real de tokens, por lo que se utiliza un supuesto uniforme de 2.500 tokens de entrada y 250 tokens de salida por reseña. Para comparar proveedores de forma homogénea se utiliza el precio Standard de cada modelo. En prototipado, Gemini puede operar dentro del Free Tier, por lo que el gasto efectivo puede ser USD 0 mientras no se superen sus límites.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</si>
</sst>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4">
    <font>
      <sz val="11"/>
      <name val="Carlito"/>
    </font>
    <font>
      <b/>
      <sz val="14"/>
      <color rgb="FFFFFFFF"/>
      <name val="Carlito"/>
    </font>
    <font>
      <b/>
      <sz val="11"/>
      <name val="Carlito"/>
    </font>
    <font>
      <b/>
      <sz val="11"/>
      <color rgb="FFFFFFFF"/>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23">
    <xf numFmtId="0" fontId="0" fillId="0" borderId="0" xfId="0"/>
    <xf numFmtId="0" fontId="2" fillId="3" borderId="0" xfId="0" applyFont="1" applyFill="1" applyAlignment="1">
      <alignment horizontal="center" wrapText="1"/>
    </xf>
    <xf numFmtId="0" fontId="0" fillId="0" borderId="0" xfId="0" applyAlignment="1">
      <alignment wrapText="1"/>
    </xf>
    <xf numFmtId="0" fontId="3" fillId="2" borderId="0" xfId="0" applyFont="1" applyFill="1" applyAlignment="1">
      <alignment horizontal="center" wrapText="1"/>
    </xf>
    <xf numFmtId="0" fontId="3" fillId="2" borderId="0" xfId="0" applyFont="1" applyFill="1" applyAlignment="1">
      <alignment horizontal="center" vertical="center" wrapText="1"/>
    </xf>
    <xf numFmtId="0" fontId="0" fillId="0" borderId="0" xfId="0" applyAlignment="1">
      <alignment vertical="top" wrapText="1"/>
    </xf>
    <xf numFmtId="164" fontId="0" fillId="0" borderId="0" xfId="0" applyNumberFormat="1" applyAlignment="1">
      <alignment vertical="top" wrapText="1"/>
    </xf>
    <xf numFmtId="165" fontId="0" fillId="0" borderId="0" xfId="0" applyNumberFormat="1" applyAlignment="1">
      <alignment vertical="top" wrapText="1"/>
    </xf>
    <xf numFmtId="0" fontId="0" fillId="4" borderId="0" xfId="0" applyFill="1" applyAlignment="1">
      <alignment vertical="top" wrapText="1"/>
    </xf>
    <xf numFmtId="164" fontId="0" fillId="4" borderId="0" xfId="0" applyNumberFormat="1" applyFill="1" applyAlignment="1">
      <alignment vertical="top" wrapText="1"/>
    </xf>
    <xf numFmtId="165" fontId="0" fillId="4" borderId="0" xfId="0" applyNumberFormat="1" applyFill="1" applyAlignment="1">
      <alignment vertical="top" wrapText="1"/>
    </xf>
    <xf numFmtId="0" fontId="0" fillId="5" borderId="0" xfId="0" applyFill="1" applyAlignment="1">
      <alignment vertical="top" wrapText="1"/>
    </xf>
    <xf numFmtId="164" fontId="0" fillId="5" borderId="0" xfId="0" applyNumberFormat="1" applyFill="1" applyAlignment="1">
      <alignment vertical="top" wrapText="1"/>
    </xf>
    <xf numFmtId="165" fontId="0" fillId="5" borderId="0" xfId="0" applyNumberFormat="1" applyFill="1" applyAlignment="1">
      <alignment vertical="top" wrapText="1"/>
    </xf>
    <xf numFmtId="0" fontId="0" fillId="3" borderId="0" xfId="0" applyFill="1" applyAlignment="1">
      <alignment vertical="top" wrapText="1"/>
    </xf>
    <xf numFmtId="164" fontId="0" fillId="3" borderId="0" xfId="0" applyNumberFormat="1" applyFill="1" applyAlignment="1">
      <alignment vertical="top" wrapText="1"/>
    </xf>
    <xf numFmtId="165" fontId="0" fillId="3" borderId="0" xfId="0" applyNumberFormat="1" applyFill="1" applyAlignment="1">
      <alignment vertical="top" wrapText="1"/>
    </xf>
    <xf numFmtId="0" fontId="3" fillId="2" borderId="0" xfId="0" applyFont="1" applyFill="1" applyAlignment="1">
      <alignment horizontal="center"/>
    </xf>
    <xf numFmtId="0" fontId="1" fillId="2" borderId="0" xfId="0" applyFont="1" applyFill="1" applyAlignment="1">
      <alignment horizontal="center" vertical="center"/>
    </xf>
    <xf numFmtId="0" fontId="3" fillId="2" borderId="0" xfId="0" applyFont="1" applyFill="1" applyAlignment="1">
      <alignment horizontal="center"/>
    </xf>
    <xf numFmtId="0" fontId="0" fillId="0" borderId="0" xfId="0" applyAlignment="1">
      <alignment vertical="top" wrapText="1"/>
    </xf>
    <xf numFmtId="0" fontId="1" fillId="2" borderId="0" xfId="0" applyFont="1"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Modelos" displayName="MatrizModelos" ref="A8:L14" totalsRowShown="0">
  <tableColumns count="12">
    <tableColumn id="1" xr3:uid="{00000000-0010-0000-0000-000001000000}" name="Modelo / modo"/>
    <tableColumn id="2" xr3:uid="{00000000-0010-0000-0000-000002000000}" name="Rol sugerido"/>
    <tableColumn id="3" xr3:uid="{00000000-0010-0000-0000-000003000000}" name="Input USD / 1M"/>
    <tableColumn id="4" xr3:uid="{00000000-0010-0000-0000-000004000000}" name="Output USD / 1M"/>
    <tableColumn id="5" xr3:uid="{00000000-0010-0000-0000-000005000000}" name="Costo / reseña"/>
    <tableColumn id="6" xr3:uid="{00000000-0010-0000-0000-000006000000}" name="100 reseñas"/>
    <tableColumn id="7" xr3:uid="{00000000-0010-0000-0000-000007000000}" name="500 reseñas"/>
    <tableColumn id="8" xr3:uid="{00000000-0010-0000-0000-000008000000}" name="1.000 reseñas"/>
    <tableColumn id="9" xr3:uid="{00000000-0010-0000-0000-000009000000}" name="10.000 reseñas"/>
    <tableColumn id="10" xr3:uid="{00000000-0010-0000-0000-00000A000000}" name="Ahorro vs Gemini Flash"/>
    <tableColumn id="11" xr3:uid="{00000000-0010-0000-0000-00000B000000}" name="Decisión"/>
    <tableColumn id="12" xr3:uid="{00000000-0010-0000-0000-00000C000000}" name="Fuen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scenariosRAG" displayName="EscenariosRAG" ref="A3:H7" totalsRowShown="0">
  <tableColumns count="8">
    <tableColumn id="1" xr3:uid="{00000000-0010-0000-0100-000001000000}" name="Escenario"/>
    <tableColumn id="2" xr3:uid="{00000000-0010-0000-0100-000002000000}" name="Input tokens"/>
    <tableColumn id="3" xr3:uid="{00000000-0010-0000-0100-000003000000}" name="Output tokens"/>
    <tableColumn id="4" xr3:uid="{00000000-0010-0000-0100-000004000000}" name="Modelo"/>
    <tableColumn id="5" xr3:uid="{00000000-0010-0000-0100-000005000000}" name="Costo / reseña"/>
    <tableColumn id="6" xr3:uid="{00000000-0010-0000-0100-000006000000}" name="1.000 reseñas"/>
    <tableColumn id="7" xr3:uid="{00000000-0010-0000-0100-000007000000}" name="Ahorro vs base"/>
    <tableColumn id="8" xr3:uid="{00000000-0010-0000-0100-000008000000}" name="Interpretació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uentesCostos" displayName="FuentesCostos" ref="A3:D10" totalsRowShown="0">
  <tableColumns count="4">
    <tableColumn id="1" xr3:uid="{00000000-0010-0000-0200-000001000000}" name="Elemento"/>
    <tableColumn id="2" xr3:uid="{00000000-0010-0000-0200-000002000000}" name="Valor / criterio"/>
    <tableColumn id="3" xr3:uid="{00000000-0010-0000-0200-000003000000}" name="Tipo"/>
    <tableColumn id="4" xr3:uid="{00000000-0010-0000-0200-000004000000}" name="Fuen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selection sqref="A1:L1"/>
    </sheetView>
  </sheetViews>
  <sheetFormatPr baseColWidth="10" defaultColWidth="9" defaultRowHeight="14.25"/>
  <cols>
    <col min="1" max="1" width="25" customWidth="1"/>
    <col min="2" max="2" width="26" customWidth="1"/>
    <col min="3" max="4" width="14" customWidth="1"/>
    <col min="5" max="5" width="15" customWidth="1"/>
    <col min="6" max="8" width="14" customWidth="1"/>
    <col min="9" max="9" width="15" customWidth="1"/>
    <col min="10" max="10" width="18" customWidth="1"/>
    <col min="11" max="11" width="25" customWidth="1"/>
    <col min="12" max="12" width="40" customWidth="1"/>
  </cols>
  <sheetData>
    <row r="1" spans="1:12" ht="27.95" customHeight="1">
      <c r="A1" s="18" t="s">
        <v>0</v>
      </c>
      <c r="B1" s="18"/>
      <c r="C1" s="18"/>
      <c r="D1" s="18"/>
      <c r="E1" s="18"/>
      <c r="F1" s="18"/>
      <c r="G1" s="18"/>
      <c r="H1" s="18"/>
      <c r="I1" s="18"/>
      <c r="J1" s="18"/>
      <c r="K1" s="18"/>
      <c r="L1" s="18"/>
    </row>
    <row r="3" spans="1:12" ht="15">
      <c r="A3" s="1" t="s">
        <v>1</v>
      </c>
      <c r="B3" s="1" t="s">
        <v>2</v>
      </c>
    </row>
    <row r="4" spans="1:12">
      <c r="A4" s="2" t="s">
        <v>3</v>
      </c>
      <c r="B4" s="2">
        <v>2500</v>
      </c>
    </row>
    <row r="5" spans="1:12">
      <c r="A5" s="2" t="s">
        <v>4</v>
      </c>
      <c r="B5" s="2">
        <v>250</v>
      </c>
    </row>
    <row r="6" spans="1:12">
      <c r="A6" s="2" t="s">
        <v>5</v>
      </c>
      <c r="B6" s="2" t="s">
        <v>6</v>
      </c>
    </row>
    <row r="8" spans="1:12" ht="32.1" customHeight="1">
      <c r="A8" s="4" t="s">
        <v>7</v>
      </c>
      <c r="B8" s="4" t="s">
        <v>8</v>
      </c>
      <c r="C8" s="4" t="s">
        <v>9</v>
      </c>
      <c r="D8" s="4" t="s">
        <v>10</v>
      </c>
      <c r="E8" s="4" t="s">
        <v>11</v>
      </c>
      <c r="F8" s="4" t="s">
        <v>12</v>
      </c>
      <c r="G8" s="4" t="s">
        <v>13</v>
      </c>
      <c r="H8" s="4" t="s">
        <v>14</v>
      </c>
      <c r="I8" s="4" t="s">
        <v>15</v>
      </c>
      <c r="J8" s="4" t="s">
        <v>16</v>
      </c>
      <c r="K8" s="4" t="s">
        <v>17</v>
      </c>
      <c r="L8" s="4" t="s">
        <v>18</v>
      </c>
    </row>
    <row r="9" spans="1:12">
      <c r="A9" s="8" t="s">
        <v>19</v>
      </c>
      <c r="B9" s="8" t="s">
        <v>20</v>
      </c>
      <c r="C9" s="9">
        <v>0.3</v>
      </c>
      <c r="D9" s="9">
        <v>2.5</v>
      </c>
      <c r="E9" s="9">
        <f t="shared" ref="E9:E14" si="0">($B$4*C9/1000000)+($B$5*D9/1000000)</f>
        <v>1.3749999999999999E-3</v>
      </c>
      <c r="F9" s="9">
        <f t="shared" ref="F9:F14" si="1">E9*100</f>
        <v>0.13749999999999998</v>
      </c>
      <c r="G9" s="9">
        <f t="shared" ref="G9:G14" si="2">E9*500</f>
        <v>0.6875</v>
      </c>
      <c r="H9" s="9">
        <f t="shared" ref="H9:H14" si="3">E9*1000</f>
        <v>1.375</v>
      </c>
      <c r="I9" s="9">
        <f t="shared" ref="I9:I14" si="4">E9*10000</f>
        <v>13.75</v>
      </c>
      <c r="J9" s="10">
        <f t="shared" ref="J9:J14" si="5">1-(E9/$E$9)</f>
        <v>0</v>
      </c>
      <c r="K9" s="8" t="s">
        <v>21</v>
      </c>
      <c r="L9" s="8" t="s">
        <v>22</v>
      </c>
    </row>
    <row r="10" spans="1:12" ht="28.5">
      <c r="A10" s="11" t="s">
        <v>23</v>
      </c>
      <c r="B10" s="11" t="s">
        <v>24</v>
      </c>
      <c r="C10" s="12">
        <v>0.1</v>
      </c>
      <c r="D10" s="12">
        <v>0.4</v>
      </c>
      <c r="E10" s="12">
        <f t="shared" si="0"/>
        <v>3.5E-4</v>
      </c>
      <c r="F10" s="12">
        <f t="shared" si="1"/>
        <v>3.4999999999999996E-2</v>
      </c>
      <c r="G10" s="12">
        <f t="shared" si="2"/>
        <v>0.17499999999999999</v>
      </c>
      <c r="H10" s="12">
        <f t="shared" si="3"/>
        <v>0.35</v>
      </c>
      <c r="I10" s="12">
        <f t="shared" si="4"/>
        <v>3.5</v>
      </c>
      <c r="J10" s="13">
        <f t="shared" si="5"/>
        <v>0.74545454545454537</v>
      </c>
      <c r="K10" s="11" t="s">
        <v>25</v>
      </c>
      <c r="L10" s="11" t="s">
        <v>22</v>
      </c>
    </row>
    <row r="11" spans="1:12" ht="28.5">
      <c r="A11" s="14" t="s">
        <v>26</v>
      </c>
      <c r="B11" s="14" t="s">
        <v>27</v>
      </c>
      <c r="C11" s="15">
        <v>0.25</v>
      </c>
      <c r="D11" s="15">
        <v>2</v>
      </c>
      <c r="E11" s="15">
        <f t="shared" si="0"/>
        <v>1.1250000000000001E-3</v>
      </c>
      <c r="F11" s="15">
        <f t="shared" si="1"/>
        <v>0.11250000000000002</v>
      </c>
      <c r="G11" s="15">
        <f t="shared" si="2"/>
        <v>0.56250000000000011</v>
      </c>
      <c r="H11" s="15">
        <f t="shared" si="3"/>
        <v>1.1250000000000002</v>
      </c>
      <c r="I11" s="15">
        <f t="shared" si="4"/>
        <v>11.250000000000002</v>
      </c>
      <c r="J11" s="16">
        <f t="shared" si="5"/>
        <v>0.18181818181818166</v>
      </c>
      <c r="K11" s="14" t="s">
        <v>28</v>
      </c>
      <c r="L11" s="14" t="s">
        <v>29</v>
      </c>
    </row>
    <row r="12" spans="1:12" ht="28.5">
      <c r="A12" s="5" t="s">
        <v>30</v>
      </c>
      <c r="B12" s="5" t="s">
        <v>31</v>
      </c>
      <c r="C12" s="6">
        <v>1</v>
      </c>
      <c r="D12" s="6">
        <v>5</v>
      </c>
      <c r="E12" s="6">
        <f t="shared" si="0"/>
        <v>3.7499999999999999E-3</v>
      </c>
      <c r="F12" s="6">
        <f t="shared" si="1"/>
        <v>0.375</v>
      </c>
      <c r="G12" s="6">
        <f t="shared" si="2"/>
        <v>1.875</v>
      </c>
      <c r="H12" s="6">
        <f t="shared" si="3"/>
        <v>3.75</v>
      </c>
      <c r="I12" s="6">
        <f t="shared" si="4"/>
        <v>37.5</v>
      </c>
      <c r="J12" s="7">
        <f t="shared" si="5"/>
        <v>-1.7272727272727275</v>
      </c>
      <c r="K12" s="5" t="s">
        <v>32</v>
      </c>
      <c r="L12" s="5" t="s">
        <v>33</v>
      </c>
    </row>
    <row r="13" spans="1:12" ht="28.5">
      <c r="A13" s="5" t="s">
        <v>34</v>
      </c>
      <c r="B13" s="5" t="s">
        <v>35</v>
      </c>
      <c r="C13" s="6">
        <v>0.15</v>
      </c>
      <c r="D13" s="6">
        <v>1.25</v>
      </c>
      <c r="E13" s="6">
        <f t="shared" si="0"/>
        <v>6.8749999999999996E-4</v>
      </c>
      <c r="F13" s="6">
        <f t="shared" si="1"/>
        <v>6.8749999999999992E-2</v>
      </c>
      <c r="G13" s="6">
        <f t="shared" si="2"/>
        <v>0.34375</v>
      </c>
      <c r="H13" s="6">
        <f t="shared" si="3"/>
        <v>0.6875</v>
      </c>
      <c r="I13" s="6">
        <f t="shared" si="4"/>
        <v>6.875</v>
      </c>
      <c r="J13" s="7">
        <f t="shared" si="5"/>
        <v>0.5</v>
      </c>
      <c r="K13" s="5" t="s">
        <v>36</v>
      </c>
      <c r="L13" s="5" t="s">
        <v>22</v>
      </c>
    </row>
    <row r="14" spans="1:12" ht="28.5">
      <c r="A14" s="5" t="s">
        <v>37</v>
      </c>
      <c r="B14" s="5" t="s">
        <v>38</v>
      </c>
      <c r="C14" s="6">
        <v>0.05</v>
      </c>
      <c r="D14" s="6">
        <v>0.2</v>
      </c>
      <c r="E14" s="6">
        <f t="shared" si="0"/>
        <v>1.75E-4</v>
      </c>
      <c r="F14" s="6">
        <f t="shared" si="1"/>
        <v>1.7499999999999998E-2</v>
      </c>
      <c r="G14" s="6">
        <f t="shared" si="2"/>
        <v>8.7499999999999994E-2</v>
      </c>
      <c r="H14" s="6">
        <f t="shared" si="3"/>
        <v>0.17499999999999999</v>
      </c>
      <c r="I14" s="6">
        <f t="shared" si="4"/>
        <v>1.75</v>
      </c>
      <c r="J14" s="7">
        <f t="shared" si="5"/>
        <v>0.87272727272727268</v>
      </c>
      <c r="K14" s="5" t="s">
        <v>36</v>
      </c>
      <c r="L14" s="5" t="s">
        <v>22</v>
      </c>
    </row>
    <row r="17" spans="1:12" ht="15">
      <c r="A17" s="19" t="s">
        <v>39</v>
      </c>
      <c r="B17" s="19"/>
      <c r="C17" s="19"/>
      <c r="D17" s="19"/>
      <c r="E17" s="19"/>
      <c r="F17" s="19"/>
      <c r="G17" s="19"/>
      <c r="H17" s="19"/>
      <c r="I17" s="19"/>
      <c r="J17" s="19"/>
      <c r="K17" s="19"/>
      <c r="L17" s="19"/>
    </row>
    <row r="18" spans="1:12" ht="24" customHeight="1">
      <c r="A18" s="20" t="s">
        <v>40</v>
      </c>
      <c r="B18" s="20"/>
      <c r="C18" s="20"/>
      <c r="D18" s="20"/>
      <c r="E18" s="20"/>
      <c r="F18" s="20"/>
      <c r="G18" s="20"/>
      <c r="H18" s="20"/>
      <c r="I18" s="20"/>
      <c r="J18" s="20"/>
      <c r="K18" s="20"/>
      <c r="L18" s="20"/>
    </row>
    <row r="19" spans="1:12" ht="24" customHeight="1">
      <c r="A19" s="20"/>
      <c r="B19" s="20"/>
      <c r="C19" s="20"/>
      <c r="D19" s="20"/>
      <c r="E19" s="20"/>
      <c r="F19" s="20"/>
      <c r="G19" s="20"/>
      <c r="H19" s="20"/>
      <c r="I19" s="20"/>
      <c r="J19" s="20"/>
      <c r="K19" s="20"/>
      <c r="L19" s="20"/>
    </row>
    <row r="20" spans="1:12" ht="24" customHeight="1">
      <c r="A20" s="20"/>
      <c r="B20" s="20"/>
      <c r="C20" s="20"/>
      <c r="D20" s="20"/>
      <c r="E20" s="20"/>
      <c r="F20" s="20"/>
      <c r="G20" s="20"/>
      <c r="H20" s="20"/>
      <c r="I20" s="20"/>
      <c r="J20" s="20"/>
      <c r="K20" s="20"/>
      <c r="L20" s="20"/>
    </row>
    <row r="21" spans="1:12" ht="24" customHeight="1">
      <c r="A21" s="20"/>
      <c r="B21" s="20"/>
      <c r="C21" s="20"/>
      <c r="D21" s="20"/>
      <c r="E21" s="20"/>
      <c r="F21" s="20"/>
      <c r="G21" s="20"/>
      <c r="H21" s="20"/>
      <c r="I21" s="20"/>
      <c r="J21" s="20"/>
      <c r="K21" s="20"/>
      <c r="L21" s="20"/>
    </row>
  </sheetData>
  <mergeCells count="3">
    <mergeCell ref="A1:L1"/>
    <mergeCell ref="A17:L17"/>
    <mergeCell ref="A18:L2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B15" sqref="B15:H15"/>
    </sheetView>
  </sheetViews>
  <sheetFormatPr baseColWidth="10" defaultColWidth="9" defaultRowHeight="14.25"/>
  <cols>
    <col min="1" max="1" width="28" customWidth="1"/>
    <col min="2" max="3" width="14" customWidth="1"/>
    <col min="4" max="4" width="23" customWidth="1"/>
    <col min="5" max="6" width="16" customWidth="1"/>
    <col min="7" max="7" width="18" customWidth="1"/>
    <col min="8" max="8" width="45" customWidth="1"/>
    <col min="10" max="12" width="2" customWidth="1"/>
  </cols>
  <sheetData>
    <row r="1" spans="1:8" ht="18">
      <c r="A1" s="21" t="s">
        <v>41</v>
      </c>
      <c r="B1" s="21"/>
      <c r="C1" s="21"/>
      <c r="D1" s="21"/>
      <c r="E1" s="21"/>
      <c r="F1" s="21"/>
      <c r="G1" s="21"/>
      <c r="H1" s="21"/>
    </row>
    <row r="3" spans="1:8" ht="15">
      <c r="A3" s="3" t="s">
        <v>42</v>
      </c>
      <c r="B3" s="3" t="s">
        <v>43</v>
      </c>
      <c r="C3" s="3" t="s">
        <v>44</v>
      </c>
      <c r="D3" s="3" t="s">
        <v>45</v>
      </c>
      <c r="E3" s="3" t="s">
        <v>11</v>
      </c>
      <c r="F3" s="3" t="s">
        <v>14</v>
      </c>
      <c r="G3" s="3" t="s">
        <v>46</v>
      </c>
      <c r="H3" s="3" t="s">
        <v>47</v>
      </c>
    </row>
    <row r="4" spans="1:8">
      <c r="A4" s="5" t="s">
        <v>48</v>
      </c>
      <c r="B4" s="5">
        <v>2500</v>
      </c>
      <c r="C4" s="5">
        <v>250</v>
      </c>
      <c r="D4" s="5" t="s">
        <v>49</v>
      </c>
      <c r="E4" s="6">
        <f>(B4*K4/1000000)+(C4*L4/1000000)</f>
        <v>0</v>
      </c>
      <c r="F4" s="6">
        <f>E4*1000</f>
        <v>0</v>
      </c>
      <c r="G4" s="7" t="e">
        <f>1-(E4/$E$4)</f>
        <v>#DIV/0!</v>
      </c>
      <c r="H4" s="5" t="s">
        <v>50</v>
      </c>
    </row>
    <row r="5" spans="1:8">
      <c r="A5" s="5" t="s">
        <v>51</v>
      </c>
      <c r="B5" s="5">
        <v>1500</v>
      </c>
      <c r="C5" s="5">
        <v>250</v>
      </c>
      <c r="D5" s="5" t="s">
        <v>49</v>
      </c>
      <c r="E5" s="6">
        <f>(B5*K5/1000000)+(C5*L5/1000000)</f>
        <v>0</v>
      </c>
      <c r="F5" s="6">
        <f>E5*1000</f>
        <v>0</v>
      </c>
      <c r="G5" s="7" t="e">
        <f>1-(E5/$E$4)</f>
        <v>#DIV/0!</v>
      </c>
      <c r="H5" s="5" t="s">
        <v>52</v>
      </c>
    </row>
    <row r="6" spans="1:8">
      <c r="A6" s="5" t="s">
        <v>53</v>
      </c>
      <c r="B6" s="5">
        <v>1000</v>
      </c>
      <c r="C6" s="5">
        <v>250</v>
      </c>
      <c r="D6" s="5" t="s">
        <v>49</v>
      </c>
      <c r="E6" s="6">
        <f>(B6*K6/1000000)+(C6*L6/1000000)</f>
        <v>0</v>
      </c>
      <c r="F6" s="6">
        <f>E6*1000</f>
        <v>0</v>
      </c>
      <c r="G6" s="7" t="e">
        <f>1-(E6/$E$4)</f>
        <v>#DIV/0!</v>
      </c>
      <c r="H6" s="5" t="s">
        <v>54</v>
      </c>
    </row>
    <row r="7" spans="1:8">
      <c r="A7" s="5" t="s">
        <v>55</v>
      </c>
      <c r="B7" s="5">
        <v>1500</v>
      </c>
      <c r="C7" s="5">
        <v>250</v>
      </c>
      <c r="D7" s="5" t="s">
        <v>56</v>
      </c>
      <c r="E7" s="6">
        <f>(B7*K7/1000000)+(C7*L7/1000000)</f>
        <v>0</v>
      </c>
      <c r="F7" s="6">
        <f>E7*1000</f>
        <v>0</v>
      </c>
      <c r="G7" s="7" t="e">
        <f>1-(E7/$E$4)</f>
        <v>#DIV/0!</v>
      </c>
      <c r="H7" s="5" t="s">
        <v>57</v>
      </c>
    </row>
    <row r="10" spans="1:8" ht="15">
      <c r="A10" s="19" t="s">
        <v>58</v>
      </c>
      <c r="B10" s="19"/>
      <c r="C10" s="19"/>
      <c r="D10" s="19"/>
      <c r="E10" s="19"/>
      <c r="F10" s="19"/>
      <c r="G10" s="19"/>
      <c r="H10" s="19"/>
    </row>
    <row r="11" spans="1:8">
      <c r="A11" s="2" t="s">
        <v>59</v>
      </c>
      <c r="B11" s="22" t="s">
        <v>60</v>
      </c>
      <c r="C11" s="22"/>
      <c r="D11" s="22"/>
      <c r="E11" s="22"/>
      <c r="F11" s="22"/>
      <c r="G11" s="22"/>
      <c r="H11" s="22"/>
    </row>
    <row r="12" spans="1:8">
      <c r="A12" s="2" t="s">
        <v>61</v>
      </c>
      <c r="B12" s="22" t="s">
        <v>62</v>
      </c>
      <c r="C12" s="22"/>
      <c r="D12" s="22"/>
      <c r="E12" s="22"/>
      <c r="F12" s="22"/>
      <c r="G12" s="22"/>
      <c r="H12" s="22"/>
    </row>
    <row r="13" spans="1:8">
      <c r="A13" s="2" t="s">
        <v>63</v>
      </c>
      <c r="B13" s="22" t="s">
        <v>64</v>
      </c>
      <c r="C13" s="22"/>
      <c r="D13" s="22"/>
      <c r="E13" s="22"/>
      <c r="F13" s="22"/>
      <c r="G13" s="22"/>
      <c r="H13" s="22"/>
    </row>
    <row r="14" spans="1:8">
      <c r="A14" s="2" t="s">
        <v>65</v>
      </c>
      <c r="B14" s="22" t="s">
        <v>66</v>
      </c>
      <c r="C14" s="22"/>
      <c r="D14" s="22"/>
      <c r="E14" s="22"/>
      <c r="F14" s="22"/>
      <c r="G14" s="22"/>
      <c r="H14" s="22"/>
    </row>
    <row r="15" spans="1:8">
      <c r="A15" s="2" t="s">
        <v>67</v>
      </c>
      <c r="B15" s="22" t="s">
        <v>68</v>
      </c>
      <c r="C15" s="22"/>
      <c r="D15" s="22"/>
      <c r="E15" s="22"/>
      <c r="F15" s="22"/>
      <c r="G15" s="22"/>
      <c r="H15" s="22"/>
    </row>
  </sheetData>
  <mergeCells count="7">
    <mergeCell ref="B14:H14"/>
    <mergeCell ref="B15:H15"/>
    <mergeCell ref="A1:H1"/>
    <mergeCell ref="A10:H10"/>
    <mergeCell ref="B11:H11"/>
    <mergeCell ref="B12:H12"/>
    <mergeCell ref="B13:H1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selection sqref="A1:D1"/>
    </sheetView>
  </sheetViews>
  <sheetFormatPr baseColWidth="10" defaultColWidth="9" defaultRowHeight="14.25"/>
  <cols>
    <col min="1" max="1" width="28" customWidth="1"/>
    <col min="2" max="2" width="45" customWidth="1"/>
    <col min="3" max="3" width="24" customWidth="1"/>
    <col min="4" max="4" width="50" customWidth="1"/>
  </cols>
  <sheetData>
    <row r="1" spans="1:4" ht="18">
      <c r="A1" s="21" t="s">
        <v>69</v>
      </c>
      <c r="B1" s="21"/>
      <c r="C1" s="21"/>
      <c r="D1" s="21"/>
    </row>
    <row r="3" spans="1:4" ht="15">
      <c r="A3" s="17" t="s">
        <v>70</v>
      </c>
      <c r="B3" s="17" t="s">
        <v>71</v>
      </c>
      <c r="C3" s="17" t="s">
        <v>72</v>
      </c>
      <c r="D3" s="17" t="s">
        <v>18</v>
      </c>
    </row>
    <row r="4" spans="1:4">
      <c r="A4" s="5" t="s">
        <v>73</v>
      </c>
      <c r="B4" s="5">
        <v>2500</v>
      </c>
      <c r="C4" s="5" t="s">
        <v>74</v>
      </c>
      <c r="D4" s="5" t="s">
        <v>75</v>
      </c>
    </row>
    <row r="5" spans="1:4">
      <c r="A5" s="5" t="s">
        <v>76</v>
      </c>
      <c r="B5" s="5">
        <v>250</v>
      </c>
      <c r="C5" s="5" t="s">
        <v>74</v>
      </c>
      <c r="D5" s="5" t="s">
        <v>75</v>
      </c>
    </row>
    <row r="6" spans="1:4">
      <c r="A6" s="5" t="s">
        <v>49</v>
      </c>
      <c r="B6" s="5" t="s">
        <v>77</v>
      </c>
      <c r="C6" s="5" t="s">
        <v>78</v>
      </c>
      <c r="D6" s="5" t="s">
        <v>22</v>
      </c>
    </row>
    <row r="7" spans="1:4">
      <c r="A7" s="5" t="s">
        <v>56</v>
      </c>
      <c r="B7" s="5" t="s">
        <v>79</v>
      </c>
      <c r="C7" s="5" t="s">
        <v>78</v>
      </c>
      <c r="D7" s="5" t="s">
        <v>22</v>
      </c>
    </row>
    <row r="8" spans="1:4">
      <c r="A8" s="5" t="s">
        <v>26</v>
      </c>
      <c r="B8" s="5" t="s">
        <v>80</v>
      </c>
      <c r="C8" s="5" t="s">
        <v>78</v>
      </c>
      <c r="D8" s="5" t="s">
        <v>29</v>
      </c>
    </row>
    <row r="9" spans="1:4">
      <c r="A9" s="5" t="s">
        <v>30</v>
      </c>
      <c r="B9" s="5" t="s">
        <v>81</v>
      </c>
      <c r="C9" s="5" t="s">
        <v>78</v>
      </c>
      <c r="D9" s="5" t="s">
        <v>33</v>
      </c>
    </row>
    <row r="10" spans="1:4" ht="28.5">
      <c r="A10" s="5" t="s">
        <v>82</v>
      </c>
      <c r="B10" s="5" t="s">
        <v>83</v>
      </c>
      <c r="C10" s="5" t="s">
        <v>84</v>
      </c>
      <c r="D10" s="5" t="s">
        <v>22</v>
      </c>
    </row>
    <row r="13" spans="1:4" ht="15">
      <c r="A13" s="19" t="s">
        <v>85</v>
      </c>
      <c r="B13" s="19"/>
      <c r="C13" s="19"/>
      <c r="D13" s="19"/>
    </row>
    <row r="14" spans="1:4">
      <c r="A14" s="22" t="s">
        <v>86</v>
      </c>
      <c r="B14" s="22"/>
      <c r="C14" s="22"/>
      <c r="D14" s="22"/>
    </row>
    <row r="15" spans="1:4">
      <c r="A15" s="22"/>
      <c r="B15" s="22"/>
      <c r="C15" s="22"/>
      <c r="D15" s="22"/>
    </row>
    <row r="16" spans="1:4">
      <c r="A16" s="22"/>
      <c r="B16" s="22"/>
      <c r="C16" s="22"/>
      <c r="D16" s="22"/>
    </row>
    <row r="17" spans="1:4">
      <c r="A17" s="22"/>
      <c r="B17" s="22"/>
      <c r="C17" s="22"/>
      <c r="D17" s="22"/>
    </row>
  </sheetData>
  <mergeCells count="3">
    <mergeCell ref="A1:D1"/>
    <mergeCell ref="A13:D13"/>
    <mergeCell ref="A14:D17"/>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de Costos</vt:lpstr>
      <vt:lpstr>Optimización RAG</vt:lpstr>
      <vt:lpstr>Metodología y 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tomy collavini</cp:lastModifiedBy>
  <dcterms:modified xsi:type="dcterms:W3CDTF">2026-08-13T14:01:44Z</dcterms:modified>
</cp:coreProperties>
</file>